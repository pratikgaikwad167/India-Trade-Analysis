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Data" sheetId="1" state="visible" r:id="rId3"/>
    <sheet name="Analysi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<sst xmlns="http://schemas.openxmlformats.org/spreadsheetml/2006/main" count="323" uniqueCount="32">
  <si>
    <t xml:space="preserve">Year</t>
  </si>
  <si>
    <t xml:space="preserve">Trading Partner</t>
  </si>
  <si>
    <t xml:space="preserve">Product Category</t>
  </si>
  <si>
    <t xml:space="preserve">Exports (USD Mn)</t>
  </si>
  <si>
    <t xml:space="preserve">Imports (USD Mn)</t>
  </si>
  <si>
    <t xml:space="preserve">USA</t>
  </si>
  <si>
    <t xml:space="preserve">Pharmaceuticals</t>
  </si>
  <si>
    <t xml:space="preserve">Textiles &amp; Apparel</t>
  </si>
  <si>
    <t xml:space="preserve">Agricultural Products</t>
  </si>
  <si>
    <t xml:space="preserve">UAE</t>
  </si>
  <si>
    <t xml:space="preserve">Electronics</t>
  </si>
  <si>
    <t xml:space="preserve">Chemicals</t>
  </si>
  <si>
    <t xml:space="preserve">China</t>
  </si>
  <si>
    <t xml:space="preserve">Petroleum Products</t>
  </si>
  <si>
    <t xml:space="preserve">Germany</t>
  </si>
  <si>
    <t xml:space="preserve">Engineering Goods</t>
  </si>
  <si>
    <t xml:space="preserve">UK</t>
  </si>
  <si>
    <t xml:space="preserve">Gems &amp; Jewellery</t>
  </si>
  <si>
    <t xml:space="preserve">Bangladesh</t>
  </si>
  <si>
    <t xml:space="preserve">Saudi Arabia</t>
  </si>
  <si>
    <t xml:space="preserve">Singapore</t>
  </si>
  <si>
    <t xml:space="preserve">Netherlands</t>
  </si>
  <si>
    <t xml:space="preserve">Vietnam</t>
  </si>
  <si>
    <t xml:space="preserve">Note: Illustrative sample dataset built to mirror the structure and scale of India's public export-import trade statistics (Ministry of Commerce &amp; Industry / DGFT trade data portal, https://tradestat.commerce.gov.in), for portfolio demonstration purposes.</t>
  </si>
  <si>
    <t xml:space="preserve">India Export-Import Trade Analysis — Category Summary (All Years)</t>
  </si>
  <si>
    <t xml:space="preserve">Total Exports (USD Mn)</t>
  </si>
  <si>
    <t xml:space="preserve">Total Imports (USD Mn)</t>
  </si>
  <si>
    <t xml:space="preserve">Trade Balance (USD Mn)</t>
  </si>
  <si>
    <t xml:space="preserve">Top Trading Partner</t>
  </si>
  <si>
    <t xml:space="preserve">Top Partner Exports (USD Mn)</t>
  </si>
  <si>
    <t xml:space="preserve">Status</t>
  </si>
  <si>
    <t xml:space="preserve">Trade Balance by Product Category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</si>
</sst>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Trade Balance by Category (USD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Analysis!D3</c:f>
              <c:strCache>
                <c:ptCount val="1"/>
                <c:pt idx="0">
                  <c:v>Trade Balance (USD Mn)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Analysis!$A$4:$A$11</c:f>
              <c:strCache>
                <c:ptCount val="8"/>
                <c:pt idx="0">
                  <c:v>Textiles &amp; Apparel</c:v>
                </c:pt>
                <c:pt idx="1">
                  <c:v>Pharmaceuticals</c:v>
                </c:pt>
                <c:pt idx="2">
                  <c:v>Engineering Goods</c:v>
                </c:pt>
                <c:pt idx="3">
                  <c:v>Petroleum Products</c:v>
                </c:pt>
                <c:pt idx="4">
                  <c:v>Gems &amp; Jewellery</c:v>
                </c:pt>
                <c:pt idx="5">
                  <c:v>Agricultural Products</c:v>
                </c:pt>
                <c:pt idx="6">
                  <c:v>Electronics</c:v>
                </c:pt>
                <c:pt idx="7">
                  <c:v>Chemicals</c:v>
                </c:pt>
              </c:strCache>
            </c:strRef>
          </c:cat>
          <c:val>
            <c:numRef>
              <c:f>Analysis!$D$4:$D$11</c:f>
              <c:numCache>
                <c:formatCode>#,##0.0</c:formatCode>
                <c:ptCount val="8"/>
                <c:pt idx="0">
                  <c:v>1033.8</c:v>
                </c:pt>
                <c:pt idx="1">
                  <c:v>-597.6</c:v>
                </c:pt>
                <c:pt idx="2">
                  <c:v>357.8</c:v>
                </c:pt>
                <c:pt idx="3">
                  <c:v>-545.3</c:v>
                </c:pt>
                <c:pt idx="4">
                  <c:v>-1374.7</c:v>
                </c:pt>
                <c:pt idx="5">
                  <c:v>2494.2</c:v>
                </c:pt>
                <c:pt idx="6">
                  <c:v>2794.7</c:v>
                </c:pt>
                <c:pt idx="7">
                  <c:v>309.199999999999</c:v>
                </c:pt>
              </c:numCache>
            </c:numRef>
          </c:val>
        </c:ser>
        <c:gapWidth val="150"/>
        <c:overlap val="0"/>
        <c:axId val="66885351"/>
        <c:axId val="59154792"/>
      </c:barChart>
      <c:catAx>
        <c:axId val="66885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54792"/>
        <c:crosses val="autoZero"/>
        <c:auto val="1"/>
        <c:lblAlgn val="ctr"/>
        <c:lblOffset val="100"/>
        <c:noMultiLvlLbl val="0"/>
      </c:catAx>
      <c:valAx>
        <c:axId val="59154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85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Exports vs Imports by Category (USD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Analysis!B3</c:f>
              <c:strCache>
                <c:ptCount val="1"/>
                <c:pt idx="0">
                  <c:v>Total Exports (USD Mn)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Analysis!$A$4:$A$11</c:f>
              <c:strCache>
                <c:ptCount val="8"/>
                <c:pt idx="0">
                  <c:v>Textiles &amp; Apparel</c:v>
                </c:pt>
                <c:pt idx="1">
                  <c:v>Pharmaceuticals</c:v>
                </c:pt>
                <c:pt idx="2">
                  <c:v>Engineering Goods</c:v>
                </c:pt>
                <c:pt idx="3">
                  <c:v>Petroleum Products</c:v>
                </c:pt>
                <c:pt idx="4">
                  <c:v>Gems &amp; Jewellery</c:v>
                </c:pt>
                <c:pt idx="5">
                  <c:v>Agricultural Products</c:v>
                </c:pt>
                <c:pt idx="6">
                  <c:v>Electronics</c:v>
                </c:pt>
                <c:pt idx="7">
                  <c:v>Chemicals</c:v>
                </c:pt>
              </c:strCache>
            </c:strRef>
          </c:cat>
          <c:val>
            <c:numRef>
              <c:f>Analysis!$B$4:$B$11</c:f>
              <c:numCache>
                <c:formatCode>#,##0.0</c:formatCode>
                <c:ptCount val="8"/>
                <c:pt idx="0">
                  <c:v>7123.5</c:v>
                </c:pt>
                <c:pt idx="1">
                  <c:v>7593.7</c:v>
                </c:pt>
                <c:pt idx="2">
                  <c:v>7051.2</c:v>
                </c:pt>
                <c:pt idx="3">
                  <c:v>7613.2</c:v>
                </c:pt>
                <c:pt idx="4">
                  <c:v>6635.7</c:v>
                </c:pt>
                <c:pt idx="5">
                  <c:v>11468.4</c:v>
                </c:pt>
                <c:pt idx="6">
                  <c:v>9441.9</c:v>
                </c:pt>
                <c:pt idx="7">
                  <c:v>9666.9</c:v>
                </c:pt>
              </c:numCache>
            </c:numRef>
          </c:val>
        </c:ser>
        <c:ser>
          <c:idx val="1"/>
          <c:order val="1"/>
          <c:tx>
            <c:strRef>
              <c:f>Analysis!C3</c:f>
              <c:strCache>
                <c:ptCount val="1"/>
                <c:pt idx="0">
                  <c:v>Total Imports (USD Mn)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Analysis!$A$4:$A$11</c:f>
              <c:strCache>
                <c:ptCount val="8"/>
                <c:pt idx="0">
                  <c:v>Textiles &amp; Apparel</c:v>
                </c:pt>
                <c:pt idx="1">
                  <c:v>Pharmaceuticals</c:v>
                </c:pt>
                <c:pt idx="2">
                  <c:v>Engineering Goods</c:v>
                </c:pt>
                <c:pt idx="3">
                  <c:v>Petroleum Products</c:v>
                </c:pt>
                <c:pt idx="4">
                  <c:v>Gems &amp; Jewellery</c:v>
                </c:pt>
                <c:pt idx="5">
                  <c:v>Agricultural Products</c:v>
                </c:pt>
                <c:pt idx="6">
                  <c:v>Electronics</c:v>
                </c:pt>
                <c:pt idx="7">
                  <c:v>Chemicals</c:v>
                </c:pt>
              </c:strCache>
            </c:strRef>
          </c:cat>
          <c:val>
            <c:numRef>
              <c:f>Analysis!$C$4:$C$11</c:f>
              <c:numCache>
                <c:formatCode>#,##0.0</c:formatCode>
                <c:ptCount val="8"/>
                <c:pt idx="0">
                  <c:v>6089.7</c:v>
                </c:pt>
                <c:pt idx="1">
                  <c:v>8191.3</c:v>
                </c:pt>
                <c:pt idx="2">
                  <c:v>6693.4</c:v>
                </c:pt>
                <c:pt idx="3">
                  <c:v>8158.5</c:v>
                </c:pt>
                <c:pt idx="4">
                  <c:v>8010.4</c:v>
                </c:pt>
                <c:pt idx="5">
                  <c:v>8974.2</c:v>
                </c:pt>
                <c:pt idx="6">
                  <c:v>6647.2</c:v>
                </c:pt>
                <c:pt idx="7">
                  <c:v>9357.7</c:v>
                </c:pt>
              </c:numCache>
            </c:numRef>
          </c:val>
        </c:ser>
        <c:gapWidth val="150"/>
        <c:overlap val="0"/>
        <c:axId val="38052384"/>
        <c:axId val="12149868"/>
      </c:barChart>
      <c:catAx>
        <c:axId val="3805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49868"/>
        <c:crosses val="autoZero"/>
        <c:auto val="1"/>
        <c:lblAlgn val="ctr"/>
        <c:lblOffset val="100"/>
        <c:noMultiLvlLbl val="0"/>
      </c:catAx>
      <c:valAx>
        <c:axId val="12149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52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11</xdr:col>
      <xdr:colOff>473040</xdr:colOff>
      <xdr:row>24</xdr:row>
      <xdr:rowOff>113760</xdr:rowOff>
    </xdr:to>
    <xdr:graphicFrame>
      <xdr:nvGraphicFramePr>
        <xdr:cNvPr id="0" name="Chart 1"/>
        <xdr:cNvGraphicFramePr/>
      </xdr:nvGraphicFramePr>
      <xdr:xfrm>
        <a:off x="0" y="3808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175680</xdr:rowOff>
    </xdr:from>
    <xdr:to>
      <xdr:col>11</xdr:col>
      <xdr:colOff>473040</xdr:colOff>
      <xdr:row>47</xdr:row>
      <xdr:rowOff>114120</xdr:rowOff>
    </xdr:to>
    <xdr:graphicFrame>
      <xdr:nvGraphicFramePr>
        <xdr:cNvPr id="1" name="Chart 2"/>
        <xdr:cNvGraphicFramePr/>
      </xdr:nvGraphicFramePr>
      <xdr:xfrm>
        <a:off x="0" y="4762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2020</v>
      </c>
      <c r="B2" s="0" t="s">
        <v>5</v>
      </c>
      <c r="C2" s="0" t="s">
        <v>6</v>
      </c>
      <c r="D2" s="0" t="n">
        <v>262</v>
      </c>
      <c r="E2" s="0" t="n">
        <v>197.5</v>
      </c>
    </row>
    <row r="3" customFormat="false" ht="15" hidden="false" customHeight="false" outlineLevel="0" collapsed="false">
      <c r="A3" s="0" t="n">
        <v>2020</v>
      </c>
      <c r="B3" s="0" t="s">
        <v>5</v>
      </c>
      <c r="C3" s="0" t="s">
        <v>7</v>
      </c>
      <c r="D3" s="0" t="n">
        <v>668.1</v>
      </c>
      <c r="E3" s="0" t="n">
        <v>578.4</v>
      </c>
    </row>
    <row r="4" customFormat="false" ht="15" hidden="false" customHeight="false" outlineLevel="0" collapsed="false">
      <c r="A4" s="0" t="n">
        <v>2020</v>
      </c>
      <c r="B4" s="0" t="s">
        <v>5</v>
      </c>
      <c r="C4" s="0" t="s">
        <v>8</v>
      </c>
      <c r="D4" s="0" t="n">
        <v>805.1</v>
      </c>
      <c r="E4" s="0" t="n">
        <v>83</v>
      </c>
    </row>
    <row r="5" customFormat="false" ht="15" hidden="false" customHeight="false" outlineLevel="0" collapsed="false">
      <c r="A5" s="0" t="n">
        <v>2020</v>
      </c>
      <c r="B5" s="0" t="s">
        <v>9</v>
      </c>
      <c r="C5" s="0" t="s">
        <v>10</v>
      </c>
      <c r="D5" s="0" t="n">
        <v>102.5</v>
      </c>
      <c r="E5" s="0" t="n">
        <v>205.4</v>
      </c>
    </row>
    <row r="6" customFormat="false" ht="15" hidden="false" customHeight="false" outlineLevel="0" collapsed="false">
      <c r="A6" s="0" t="n">
        <v>2020</v>
      </c>
      <c r="B6" s="0" t="s">
        <v>9</v>
      </c>
      <c r="C6" s="0" t="s">
        <v>7</v>
      </c>
      <c r="D6" s="0" t="n">
        <v>549.8</v>
      </c>
      <c r="E6" s="0" t="n">
        <v>481.4</v>
      </c>
    </row>
    <row r="7" customFormat="false" ht="15" hidden="false" customHeight="false" outlineLevel="0" collapsed="false">
      <c r="A7" s="0" t="n">
        <v>2020</v>
      </c>
      <c r="B7" s="0" t="s">
        <v>9</v>
      </c>
      <c r="C7" s="0" t="s">
        <v>11</v>
      </c>
      <c r="D7" s="0" t="n">
        <v>650.1</v>
      </c>
      <c r="E7" s="0" t="n">
        <v>599.1</v>
      </c>
    </row>
    <row r="8" customFormat="false" ht="15" hidden="false" customHeight="false" outlineLevel="0" collapsed="false">
      <c r="A8" s="0" t="n">
        <v>2020</v>
      </c>
      <c r="B8" s="0" t="s">
        <v>12</v>
      </c>
      <c r="C8" s="0" t="s">
        <v>10</v>
      </c>
      <c r="D8" s="0" t="n">
        <v>538.6</v>
      </c>
      <c r="E8" s="0" t="n">
        <v>689.9</v>
      </c>
    </row>
    <row r="9" customFormat="false" ht="15" hidden="false" customHeight="false" outlineLevel="0" collapsed="false">
      <c r="A9" s="0" t="n">
        <v>2020</v>
      </c>
      <c r="B9" s="0" t="s">
        <v>12</v>
      </c>
      <c r="C9" s="0" t="s">
        <v>6</v>
      </c>
      <c r="D9" s="0" t="n">
        <v>25.7</v>
      </c>
      <c r="E9" s="0" t="n">
        <v>686.9</v>
      </c>
    </row>
    <row r="10" customFormat="false" ht="15" hidden="false" customHeight="false" outlineLevel="0" collapsed="false">
      <c r="A10" s="0" t="n">
        <v>2020</v>
      </c>
      <c r="B10" s="0" t="s">
        <v>12</v>
      </c>
      <c r="C10" s="0" t="s">
        <v>13</v>
      </c>
      <c r="D10" s="0" t="n">
        <v>634.4</v>
      </c>
      <c r="E10" s="0" t="n">
        <v>295.8</v>
      </c>
    </row>
    <row r="11" customFormat="false" ht="15" hidden="false" customHeight="false" outlineLevel="0" collapsed="false">
      <c r="A11" s="0" t="n">
        <v>2020</v>
      </c>
      <c r="B11" s="0" t="s">
        <v>14</v>
      </c>
      <c r="C11" s="0" t="s">
        <v>15</v>
      </c>
      <c r="D11" s="0" t="n">
        <v>109.9</v>
      </c>
      <c r="E11" s="0" t="n">
        <v>329.1</v>
      </c>
    </row>
    <row r="12" customFormat="false" ht="15" hidden="false" customHeight="false" outlineLevel="0" collapsed="false">
      <c r="A12" s="0" t="n">
        <v>2020</v>
      </c>
      <c r="B12" s="0" t="s">
        <v>14</v>
      </c>
      <c r="C12" s="0" t="s">
        <v>6</v>
      </c>
      <c r="D12" s="0" t="n">
        <v>335.9</v>
      </c>
      <c r="E12" s="0" t="n">
        <v>298.9</v>
      </c>
    </row>
    <row r="13" customFormat="false" ht="15" hidden="false" customHeight="false" outlineLevel="0" collapsed="false">
      <c r="A13" s="0" t="n">
        <v>2020</v>
      </c>
      <c r="B13" s="0" t="s">
        <v>14</v>
      </c>
      <c r="C13" s="0" t="s">
        <v>11</v>
      </c>
      <c r="D13" s="0" t="n">
        <v>252.8</v>
      </c>
      <c r="E13" s="0" t="n">
        <v>46.5</v>
      </c>
    </row>
    <row r="14" customFormat="false" ht="15" hidden="false" customHeight="false" outlineLevel="0" collapsed="false">
      <c r="A14" s="0" t="n">
        <v>2020</v>
      </c>
      <c r="B14" s="0" t="s">
        <v>16</v>
      </c>
      <c r="C14" s="0" t="s">
        <v>11</v>
      </c>
      <c r="D14" s="0" t="n">
        <v>876.3</v>
      </c>
      <c r="E14" s="0" t="n">
        <v>328</v>
      </c>
    </row>
    <row r="15" customFormat="false" ht="15" hidden="false" customHeight="false" outlineLevel="0" collapsed="false">
      <c r="A15" s="0" t="n">
        <v>2020</v>
      </c>
      <c r="B15" s="0" t="s">
        <v>16</v>
      </c>
      <c r="C15" s="0" t="s">
        <v>17</v>
      </c>
      <c r="D15" s="0" t="n">
        <v>505.8</v>
      </c>
      <c r="E15" s="0" t="n">
        <v>706.7</v>
      </c>
    </row>
    <row r="16" customFormat="false" ht="15" hidden="false" customHeight="false" outlineLevel="0" collapsed="false">
      <c r="A16" s="0" t="n">
        <v>2020</v>
      </c>
      <c r="B16" s="0" t="s">
        <v>16</v>
      </c>
      <c r="C16" s="0" t="s">
        <v>7</v>
      </c>
      <c r="D16" s="0" t="n">
        <v>564.3</v>
      </c>
      <c r="E16" s="0" t="n">
        <v>733.8</v>
      </c>
    </row>
    <row r="17" customFormat="false" ht="15" hidden="false" customHeight="false" outlineLevel="0" collapsed="false">
      <c r="A17" s="0" t="n">
        <v>2020</v>
      </c>
      <c r="B17" s="0" t="s">
        <v>18</v>
      </c>
      <c r="C17" s="0" t="s">
        <v>13</v>
      </c>
      <c r="D17" s="0" t="n">
        <v>60.3</v>
      </c>
      <c r="E17" s="0" t="n">
        <v>201.4</v>
      </c>
    </row>
    <row r="18" customFormat="false" ht="15" hidden="false" customHeight="false" outlineLevel="0" collapsed="false">
      <c r="A18" s="0" t="n">
        <v>2020</v>
      </c>
      <c r="B18" s="0" t="s">
        <v>18</v>
      </c>
      <c r="C18" s="0" t="s">
        <v>8</v>
      </c>
      <c r="D18" s="0" t="n">
        <v>274.7</v>
      </c>
      <c r="E18" s="0" t="n">
        <v>77</v>
      </c>
    </row>
    <row r="19" customFormat="false" ht="15" hidden="false" customHeight="false" outlineLevel="0" collapsed="false">
      <c r="A19" s="0" t="n">
        <v>2020</v>
      </c>
      <c r="B19" s="0" t="s">
        <v>18</v>
      </c>
      <c r="C19" s="0" t="s">
        <v>7</v>
      </c>
      <c r="D19" s="0" t="n">
        <v>224.9</v>
      </c>
      <c r="E19" s="0" t="n">
        <v>94.8</v>
      </c>
    </row>
    <row r="20" customFormat="false" ht="15" hidden="false" customHeight="false" outlineLevel="0" collapsed="false">
      <c r="A20" s="0" t="n">
        <v>2020</v>
      </c>
      <c r="B20" s="0" t="s">
        <v>19</v>
      </c>
      <c r="C20" s="0" t="s">
        <v>17</v>
      </c>
      <c r="D20" s="0" t="n">
        <v>754</v>
      </c>
      <c r="E20" s="0" t="n">
        <v>146.6</v>
      </c>
    </row>
    <row r="21" customFormat="false" ht="15" hidden="false" customHeight="false" outlineLevel="0" collapsed="false">
      <c r="A21" s="0" t="n">
        <v>2020</v>
      </c>
      <c r="B21" s="0" t="s">
        <v>19</v>
      </c>
      <c r="C21" s="0" t="s">
        <v>13</v>
      </c>
      <c r="D21" s="0" t="n">
        <v>332.6</v>
      </c>
      <c r="E21" s="0" t="n">
        <v>572.9</v>
      </c>
    </row>
    <row r="22" customFormat="false" ht="15" hidden="false" customHeight="false" outlineLevel="0" collapsed="false">
      <c r="A22" s="0" t="n">
        <v>2020</v>
      </c>
      <c r="B22" s="0" t="s">
        <v>19</v>
      </c>
      <c r="C22" s="0" t="s">
        <v>8</v>
      </c>
      <c r="D22" s="0" t="n">
        <v>637.6</v>
      </c>
      <c r="E22" s="0" t="n">
        <v>584.2</v>
      </c>
    </row>
    <row r="23" customFormat="false" ht="15" hidden="false" customHeight="false" outlineLevel="0" collapsed="false">
      <c r="A23" s="0" t="n">
        <v>2020</v>
      </c>
      <c r="B23" s="0" t="s">
        <v>20</v>
      </c>
      <c r="C23" s="0" t="s">
        <v>6</v>
      </c>
      <c r="D23" s="0" t="n">
        <v>170.6</v>
      </c>
      <c r="E23" s="0" t="n">
        <v>622.5</v>
      </c>
    </row>
    <row r="24" customFormat="false" ht="15" hidden="false" customHeight="false" outlineLevel="0" collapsed="false">
      <c r="A24" s="0" t="n">
        <v>2020</v>
      </c>
      <c r="B24" s="0" t="s">
        <v>20</v>
      </c>
      <c r="C24" s="0" t="s">
        <v>17</v>
      </c>
      <c r="D24" s="0" t="n">
        <v>163.8</v>
      </c>
      <c r="E24" s="0" t="n">
        <v>328.7</v>
      </c>
    </row>
    <row r="25" customFormat="false" ht="15" hidden="false" customHeight="false" outlineLevel="0" collapsed="false">
      <c r="A25" s="0" t="n">
        <v>2020</v>
      </c>
      <c r="B25" s="0" t="s">
        <v>20</v>
      </c>
      <c r="C25" s="0" t="s">
        <v>8</v>
      </c>
      <c r="D25" s="0" t="n">
        <v>890.8</v>
      </c>
      <c r="E25" s="0" t="n">
        <v>547.6</v>
      </c>
    </row>
    <row r="26" customFormat="false" ht="15" hidden="false" customHeight="false" outlineLevel="0" collapsed="false">
      <c r="A26" s="0" t="n">
        <v>2020</v>
      </c>
      <c r="B26" s="0" t="s">
        <v>21</v>
      </c>
      <c r="C26" s="0" t="s">
        <v>13</v>
      </c>
      <c r="D26" s="0" t="n">
        <v>761.7</v>
      </c>
      <c r="E26" s="0" t="n">
        <v>661.8</v>
      </c>
    </row>
    <row r="27" customFormat="false" ht="15" hidden="false" customHeight="false" outlineLevel="0" collapsed="false">
      <c r="A27" s="0" t="n">
        <v>2020</v>
      </c>
      <c r="B27" s="0" t="s">
        <v>21</v>
      </c>
      <c r="C27" s="0" t="s">
        <v>8</v>
      </c>
      <c r="D27" s="0" t="n">
        <v>221.6</v>
      </c>
      <c r="E27" s="0" t="n">
        <v>37</v>
      </c>
    </row>
    <row r="28" customFormat="false" ht="15" hidden="false" customHeight="false" outlineLevel="0" collapsed="false">
      <c r="A28" s="0" t="n">
        <v>2020</v>
      </c>
      <c r="B28" s="0" t="s">
        <v>21</v>
      </c>
      <c r="C28" s="0" t="s">
        <v>15</v>
      </c>
      <c r="D28" s="0" t="n">
        <v>297.6</v>
      </c>
      <c r="E28" s="0" t="n">
        <v>234.9</v>
      </c>
    </row>
    <row r="29" customFormat="false" ht="15" hidden="false" customHeight="false" outlineLevel="0" collapsed="false">
      <c r="A29" s="0" t="n">
        <v>2020</v>
      </c>
      <c r="B29" s="0" t="s">
        <v>22</v>
      </c>
      <c r="C29" s="0" t="s">
        <v>13</v>
      </c>
      <c r="D29" s="0" t="n">
        <v>296.9</v>
      </c>
      <c r="E29" s="0" t="n">
        <v>560.6</v>
      </c>
    </row>
    <row r="30" customFormat="false" ht="15" hidden="false" customHeight="false" outlineLevel="0" collapsed="false">
      <c r="A30" s="0" t="n">
        <v>2020</v>
      </c>
      <c r="B30" s="0" t="s">
        <v>22</v>
      </c>
      <c r="C30" s="0" t="s">
        <v>17</v>
      </c>
      <c r="D30" s="0" t="n">
        <v>368.2</v>
      </c>
      <c r="E30" s="0" t="n">
        <v>778.2</v>
      </c>
    </row>
    <row r="31" customFormat="false" ht="15" hidden="false" customHeight="false" outlineLevel="0" collapsed="false">
      <c r="A31" s="0" t="n">
        <v>2020</v>
      </c>
      <c r="B31" s="0" t="s">
        <v>22</v>
      </c>
      <c r="C31" s="0" t="s">
        <v>8</v>
      </c>
      <c r="D31" s="0" t="n">
        <v>423.8</v>
      </c>
      <c r="E31" s="0" t="n">
        <v>232.5</v>
      </c>
    </row>
    <row r="32" customFormat="false" ht="15" hidden="false" customHeight="false" outlineLevel="0" collapsed="false">
      <c r="A32" s="0" t="n">
        <v>2021</v>
      </c>
      <c r="B32" s="0" t="s">
        <v>5</v>
      </c>
      <c r="C32" s="0" t="s">
        <v>13</v>
      </c>
      <c r="D32" s="0" t="n">
        <v>494.3</v>
      </c>
      <c r="E32" s="0" t="n">
        <v>637.5</v>
      </c>
    </row>
    <row r="33" customFormat="false" ht="15" hidden="false" customHeight="false" outlineLevel="0" collapsed="false">
      <c r="A33" s="0" t="n">
        <v>2021</v>
      </c>
      <c r="B33" s="0" t="s">
        <v>5</v>
      </c>
      <c r="C33" s="0" t="s">
        <v>8</v>
      </c>
      <c r="D33" s="0" t="n">
        <v>397</v>
      </c>
      <c r="E33" s="0" t="n">
        <v>500.2</v>
      </c>
    </row>
    <row r="34" customFormat="false" ht="15" hidden="false" customHeight="false" outlineLevel="0" collapsed="false">
      <c r="A34" s="0" t="n">
        <v>2021</v>
      </c>
      <c r="B34" s="0" t="s">
        <v>5</v>
      </c>
      <c r="C34" s="0" t="s">
        <v>17</v>
      </c>
      <c r="D34" s="0" t="n">
        <v>338.6</v>
      </c>
      <c r="E34" s="0" t="n">
        <v>847.8</v>
      </c>
    </row>
    <row r="35" customFormat="false" ht="15" hidden="false" customHeight="false" outlineLevel="0" collapsed="false">
      <c r="A35" s="0" t="n">
        <v>2021</v>
      </c>
      <c r="B35" s="0" t="s">
        <v>9</v>
      </c>
      <c r="C35" s="0" t="s">
        <v>15</v>
      </c>
      <c r="D35" s="0" t="n">
        <v>100</v>
      </c>
      <c r="E35" s="0" t="n">
        <v>49.6</v>
      </c>
    </row>
    <row r="36" customFormat="false" ht="15" hidden="false" customHeight="false" outlineLevel="0" collapsed="false">
      <c r="A36" s="0" t="n">
        <v>2021</v>
      </c>
      <c r="B36" s="0" t="s">
        <v>9</v>
      </c>
      <c r="C36" s="0" t="s">
        <v>17</v>
      </c>
      <c r="D36" s="0" t="n">
        <v>116.5</v>
      </c>
      <c r="E36" s="0" t="n">
        <v>537.1</v>
      </c>
    </row>
    <row r="37" customFormat="false" ht="15" hidden="false" customHeight="false" outlineLevel="0" collapsed="false">
      <c r="A37" s="0" t="n">
        <v>2021</v>
      </c>
      <c r="B37" s="0" t="s">
        <v>9</v>
      </c>
      <c r="C37" s="0" t="s">
        <v>13</v>
      </c>
      <c r="D37" s="0" t="n">
        <v>717</v>
      </c>
      <c r="E37" s="0" t="n">
        <v>364.6</v>
      </c>
    </row>
    <row r="38" customFormat="false" ht="15" hidden="false" customHeight="false" outlineLevel="0" collapsed="false">
      <c r="A38" s="0" t="n">
        <v>2021</v>
      </c>
      <c r="B38" s="0" t="s">
        <v>12</v>
      </c>
      <c r="C38" s="0" t="s">
        <v>6</v>
      </c>
      <c r="D38" s="0" t="n">
        <v>544.4</v>
      </c>
      <c r="E38" s="0" t="n">
        <v>403.2</v>
      </c>
    </row>
    <row r="39" customFormat="false" ht="15" hidden="false" customHeight="false" outlineLevel="0" collapsed="false">
      <c r="A39" s="0" t="n">
        <v>2021</v>
      </c>
      <c r="B39" s="0" t="s">
        <v>12</v>
      </c>
      <c r="C39" s="0" t="s">
        <v>13</v>
      </c>
      <c r="D39" s="0" t="n">
        <v>241.2</v>
      </c>
      <c r="E39" s="0" t="n">
        <v>474.7</v>
      </c>
    </row>
    <row r="40" customFormat="false" ht="15" hidden="false" customHeight="false" outlineLevel="0" collapsed="false">
      <c r="A40" s="0" t="n">
        <v>2021</v>
      </c>
      <c r="B40" s="0" t="s">
        <v>12</v>
      </c>
      <c r="C40" s="0" t="s">
        <v>10</v>
      </c>
      <c r="D40" s="0" t="n">
        <v>849.3</v>
      </c>
      <c r="E40" s="0" t="n">
        <v>581.4</v>
      </c>
    </row>
    <row r="41" customFormat="false" ht="15" hidden="false" customHeight="false" outlineLevel="0" collapsed="false">
      <c r="A41" s="0" t="n">
        <v>2021</v>
      </c>
      <c r="B41" s="0" t="s">
        <v>14</v>
      </c>
      <c r="C41" s="0" t="s">
        <v>6</v>
      </c>
      <c r="D41" s="0" t="n">
        <v>680.8</v>
      </c>
      <c r="E41" s="0" t="n">
        <v>655.6</v>
      </c>
    </row>
    <row r="42" customFormat="false" ht="15" hidden="false" customHeight="false" outlineLevel="0" collapsed="false">
      <c r="A42" s="0" t="n">
        <v>2021</v>
      </c>
      <c r="B42" s="0" t="s">
        <v>14</v>
      </c>
      <c r="C42" s="0" t="s">
        <v>8</v>
      </c>
      <c r="D42" s="0" t="n">
        <v>319.4</v>
      </c>
      <c r="E42" s="0" t="n">
        <v>256.5</v>
      </c>
    </row>
    <row r="43" customFormat="false" ht="15" hidden="false" customHeight="false" outlineLevel="0" collapsed="false">
      <c r="A43" s="0" t="n">
        <v>2021</v>
      </c>
      <c r="B43" s="0" t="s">
        <v>14</v>
      </c>
      <c r="C43" s="0" t="s">
        <v>17</v>
      </c>
      <c r="D43" s="0" t="n">
        <v>159.2</v>
      </c>
      <c r="E43" s="0" t="n">
        <v>12.7</v>
      </c>
    </row>
    <row r="44" customFormat="false" ht="15" hidden="false" customHeight="false" outlineLevel="0" collapsed="false">
      <c r="A44" s="0" t="n">
        <v>2021</v>
      </c>
      <c r="B44" s="0" t="s">
        <v>16</v>
      </c>
      <c r="C44" s="0" t="s">
        <v>17</v>
      </c>
      <c r="D44" s="0" t="n">
        <v>466.8</v>
      </c>
      <c r="E44" s="0" t="n">
        <v>99.4</v>
      </c>
    </row>
    <row r="45" customFormat="false" ht="15" hidden="false" customHeight="false" outlineLevel="0" collapsed="false">
      <c r="A45" s="0" t="n">
        <v>2021</v>
      </c>
      <c r="B45" s="0" t="s">
        <v>16</v>
      </c>
      <c r="C45" s="0" t="s">
        <v>11</v>
      </c>
      <c r="D45" s="0" t="n">
        <v>570.3</v>
      </c>
      <c r="E45" s="0" t="n">
        <v>717</v>
      </c>
    </row>
    <row r="46" customFormat="false" ht="15" hidden="false" customHeight="false" outlineLevel="0" collapsed="false">
      <c r="A46" s="0" t="n">
        <v>2021</v>
      </c>
      <c r="B46" s="0" t="s">
        <v>16</v>
      </c>
      <c r="C46" s="0" t="s">
        <v>6</v>
      </c>
      <c r="D46" s="0" t="n">
        <v>466.7</v>
      </c>
      <c r="E46" s="0" t="n">
        <v>177.1</v>
      </c>
    </row>
    <row r="47" customFormat="false" ht="15" hidden="false" customHeight="false" outlineLevel="0" collapsed="false">
      <c r="A47" s="0" t="n">
        <v>2021</v>
      </c>
      <c r="B47" s="0" t="s">
        <v>18</v>
      </c>
      <c r="C47" s="0" t="s">
        <v>8</v>
      </c>
      <c r="D47" s="0" t="n">
        <v>494.7</v>
      </c>
      <c r="E47" s="0" t="n">
        <v>664</v>
      </c>
    </row>
    <row r="48" customFormat="false" ht="15" hidden="false" customHeight="false" outlineLevel="0" collapsed="false">
      <c r="A48" s="0" t="n">
        <v>2021</v>
      </c>
      <c r="B48" s="0" t="s">
        <v>18</v>
      </c>
      <c r="C48" s="0" t="s">
        <v>10</v>
      </c>
      <c r="D48" s="0" t="n">
        <v>486.7</v>
      </c>
      <c r="E48" s="0" t="n">
        <v>10.5</v>
      </c>
    </row>
    <row r="49" customFormat="false" ht="15" hidden="false" customHeight="false" outlineLevel="0" collapsed="false">
      <c r="A49" s="0" t="n">
        <v>2021</v>
      </c>
      <c r="B49" s="0" t="s">
        <v>18</v>
      </c>
      <c r="C49" s="0" t="s">
        <v>6</v>
      </c>
      <c r="D49" s="0" t="n">
        <v>305.3</v>
      </c>
      <c r="E49" s="0" t="n">
        <v>26.4</v>
      </c>
    </row>
    <row r="50" customFormat="false" ht="15" hidden="false" customHeight="false" outlineLevel="0" collapsed="false">
      <c r="A50" s="0" t="n">
        <v>2021</v>
      </c>
      <c r="B50" s="0" t="s">
        <v>19</v>
      </c>
      <c r="C50" s="0" t="s">
        <v>8</v>
      </c>
      <c r="D50" s="0" t="n">
        <v>230.7</v>
      </c>
      <c r="E50" s="0" t="n">
        <v>212.3</v>
      </c>
    </row>
    <row r="51" customFormat="false" ht="15" hidden="false" customHeight="false" outlineLevel="0" collapsed="false">
      <c r="A51" s="0" t="n">
        <v>2021</v>
      </c>
      <c r="B51" s="0" t="s">
        <v>19</v>
      </c>
      <c r="C51" s="0" t="s">
        <v>10</v>
      </c>
      <c r="D51" s="0" t="n">
        <v>519.3</v>
      </c>
      <c r="E51" s="0" t="n">
        <v>76.2</v>
      </c>
    </row>
    <row r="52" customFormat="false" ht="15" hidden="false" customHeight="false" outlineLevel="0" collapsed="false">
      <c r="A52" s="0" t="n">
        <v>2021</v>
      </c>
      <c r="B52" s="0" t="s">
        <v>19</v>
      </c>
      <c r="C52" s="0" t="s">
        <v>15</v>
      </c>
      <c r="D52" s="0" t="n">
        <v>664.1</v>
      </c>
      <c r="E52" s="0" t="n">
        <v>695.5</v>
      </c>
    </row>
    <row r="53" customFormat="false" ht="15" hidden="false" customHeight="false" outlineLevel="0" collapsed="false">
      <c r="A53" s="0" t="n">
        <v>2021</v>
      </c>
      <c r="B53" s="0" t="s">
        <v>20</v>
      </c>
      <c r="C53" s="0" t="s">
        <v>15</v>
      </c>
      <c r="D53" s="0" t="n">
        <v>438.2</v>
      </c>
      <c r="E53" s="0" t="n">
        <v>471.8</v>
      </c>
    </row>
    <row r="54" customFormat="false" ht="15" hidden="false" customHeight="false" outlineLevel="0" collapsed="false">
      <c r="A54" s="0" t="n">
        <v>2021</v>
      </c>
      <c r="B54" s="0" t="s">
        <v>20</v>
      </c>
      <c r="C54" s="0" t="s">
        <v>6</v>
      </c>
      <c r="D54" s="0" t="n">
        <v>253.2</v>
      </c>
      <c r="E54" s="0" t="n">
        <v>742.8</v>
      </c>
    </row>
    <row r="55" customFormat="false" ht="15" hidden="false" customHeight="false" outlineLevel="0" collapsed="false">
      <c r="A55" s="0" t="n">
        <v>2021</v>
      </c>
      <c r="B55" s="0" t="s">
        <v>20</v>
      </c>
      <c r="C55" s="0" t="s">
        <v>8</v>
      </c>
      <c r="D55" s="0" t="n">
        <v>392.4</v>
      </c>
      <c r="E55" s="0" t="n">
        <v>187.9</v>
      </c>
    </row>
    <row r="56" customFormat="false" ht="15" hidden="false" customHeight="false" outlineLevel="0" collapsed="false">
      <c r="A56" s="0" t="n">
        <v>2021</v>
      </c>
      <c r="B56" s="0" t="s">
        <v>21</v>
      </c>
      <c r="C56" s="0" t="s">
        <v>13</v>
      </c>
      <c r="D56" s="0" t="n">
        <v>371.1</v>
      </c>
      <c r="E56" s="0" t="n">
        <v>574.2</v>
      </c>
    </row>
    <row r="57" customFormat="false" ht="15" hidden="false" customHeight="false" outlineLevel="0" collapsed="false">
      <c r="A57" s="0" t="n">
        <v>2021</v>
      </c>
      <c r="B57" s="0" t="s">
        <v>21</v>
      </c>
      <c r="C57" s="0" t="s">
        <v>8</v>
      </c>
      <c r="D57" s="0" t="n">
        <v>348.6</v>
      </c>
      <c r="E57" s="0" t="n">
        <v>765.7</v>
      </c>
    </row>
    <row r="58" customFormat="false" ht="15" hidden="false" customHeight="false" outlineLevel="0" collapsed="false">
      <c r="A58" s="0" t="n">
        <v>2021</v>
      </c>
      <c r="B58" s="0" t="s">
        <v>21</v>
      </c>
      <c r="C58" s="0" t="s">
        <v>15</v>
      </c>
      <c r="D58" s="0" t="n">
        <v>417.3</v>
      </c>
      <c r="E58" s="0" t="n">
        <v>218.2</v>
      </c>
    </row>
    <row r="59" customFormat="false" ht="15" hidden="false" customHeight="false" outlineLevel="0" collapsed="false">
      <c r="A59" s="0" t="n">
        <v>2021</v>
      </c>
      <c r="B59" s="0" t="s">
        <v>22</v>
      </c>
      <c r="C59" s="0" t="s">
        <v>6</v>
      </c>
      <c r="D59" s="0" t="n">
        <v>537.7</v>
      </c>
      <c r="E59" s="0" t="n">
        <v>203.3</v>
      </c>
    </row>
    <row r="60" customFormat="false" ht="15" hidden="false" customHeight="false" outlineLevel="0" collapsed="false">
      <c r="A60" s="0" t="n">
        <v>2021</v>
      </c>
      <c r="B60" s="0" t="s">
        <v>22</v>
      </c>
      <c r="C60" s="0" t="s">
        <v>15</v>
      </c>
      <c r="D60" s="0" t="n">
        <v>213.8</v>
      </c>
      <c r="E60" s="0" t="n">
        <v>69.6</v>
      </c>
    </row>
    <row r="61" customFormat="false" ht="15" hidden="false" customHeight="false" outlineLevel="0" collapsed="false">
      <c r="A61" s="0" t="n">
        <v>2021</v>
      </c>
      <c r="B61" s="0" t="s">
        <v>22</v>
      </c>
      <c r="C61" s="0" t="s">
        <v>7</v>
      </c>
      <c r="D61" s="0" t="n">
        <v>575.4</v>
      </c>
      <c r="E61" s="0" t="n">
        <v>202.3</v>
      </c>
    </row>
    <row r="62" customFormat="false" ht="15" hidden="false" customHeight="false" outlineLevel="0" collapsed="false">
      <c r="A62" s="0" t="n">
        <v>2022</v>
      </c>
      <c r="B62" s="0" t="s">
        <v>5</v>
      </c>
      <c r="C62" s="0" t="s">
        <v>7</v>
      </c>
      <c r="D62" s="0" t="n">
        <v>82.4</v>
      </c>
      <c r="E62" s="0" t="n">
        <v>209.9</v>
      </c>
    </row>
    <row r="63" customFormat="false" ht="15" hidden="false" customHeight="false" outlineLevel="0" collapsed="false">
      <c r="A63" s="0" t="n">
        <v>2022</v>
      </c>
      <c r="B63" s="0" t="s">
        <v>5</v>
      </c>
      <c r="C63" s="0" t="s">
        <v>10</v>
      </c>
      <c r="D63" s="0" t="n">
        <v>608.7</v>
      </c>
      <c r="E63" s="0" t="n">
        <v>190</v>
      </c>
    </row>
    <row r="64" customFormat="false" ht="15" hidden="false" customHeight="false" outlineLevel="0" collapsed="false">
      <c r="A64" s="0" t="n">
        <v>2022</v>
      </c>
      <c r="B64" s="0" t="s">
        <v>5</v>
      </c>
      <c r="C64" s="0" t="s">
        <v>15</v>
      </c>
      <c r="D64" s="0" t="n">
        <v>136.4</v>
      </c>
      <c r="E64" s="0" t="n">
        <v>795.8</v>
      </c>
    </row>
    <row r="65" customFormat="false" ht="15" hidden="false" customHeight="false" outlineLevel="0" collapsed="false">
      <c r="A65" s="0" t="n">
        <v>2022</v>
      </c>
      <c r="B65" s="0" t="s">
        <v>9</v>
      </c>
      <c r="C65" s="0" t="s">
        <v>11</v>
      </c>
      <c r="D65" s="0" t="n">
        <v>730.6</v>
      </c>
      <c r="E65" s="0" t="n">
        <v>169.9</v>
      </c>
    </row>
    <row r="66" customFormat="false" ht="15" hidden="false" customHeight="false" outlineLevel="0" collapsed="false">
      <c r="A66" s="0" t="n">
        <v>2022</v>
      </c>
      <c r="B66" s="0" t="s">
        <v>9</v>
      </c>
      <c r="C66" s="0" t="s">
        <v>6</v>
      </c>
      <c r="D66" s="0" t="n">
        <v>105.3</v>
      </c>
      <c r="E66" s="0" t="n">
        <v>372.1</v>
      </c>
    </row>
    <row r="67" customFormat="false" ht="15" hidden="false" customHeight="false" outlineLevel="0" collapsed="false">
      <c r="A67" s="0" t="n">
        <v>2022</v>
      </c>
      <c r="B67" s="0" t="s">
        <v>9</v>
      </c>
      <c r="C67" s="0" t="s">
        <v>13</v>
      </c>
      <c r="D67" s="0" t="n">
        <v>392.7</v>
      </c>
      <c r="E67" s="0" t="n">
        <v>402.3</v>
      </c>
    </row>
    <row r="68" customFormat="false" ht="15" hidden="false" customHeight="false" outlineLevel="0" collapsed="false">
      <c r="A68" s="0" t="n">
        <v>2022</v>
      </c>
      <c r="B68" s="0" t="s">
        <v>12</v>
      </c>
      <c r="C68" s="0" t="s">
        <v>7</v>
      </c>
      <c r="D68" s="0" t="n">
        <v>886.1</v>
      </c>
      <c r="E68" s="0" t="n">
        <v>92.7</v>
      </c>
    </row>
    <row r="69" customFormat="false" ht="15" hidden="false" customHeight="false" outlineLevel="0" collapsed="false">
      <c r="A69" s="0" t="n">
        <v>2022</v>
      </c>
      <c r="B69" s="0" t="s">
        <v>12</v>
      </c>
      <c r="C69" s="0" t="s">
        <v>8</v>
      </c>
      <c r="D69" s="0" t="n">
        <v>374.3</v>
      </c>
      <c r="E69" s="0" t="n">
        <v>295</v>
      </c>
    </row>
    <row r="70" customFormat="false" ht="15" hidden="false" customHeight="false" outlineLevel="0" collapsed="false">
      <c r="A70" s="0" t="n">
        <v>2022</v>
      </c>
      <c r="B70" s="0" t="s">
        <v>12</v>
      </c>
      <c r="C70" s="0" t="s">
        <v>10</v>
      </c>
      <c r="D70" s="0" t="n">
        <v>778.3</v>
      </c>
      <c r="E70" s="0" t="n">
        <v>218.9</v>
      </c>
    </row>
    <row r="71" customFormat="false" ht="15" hidden="false" customHeight="false" outlineLevel="0" collapsed="false">
      <c r="A71" s="0" t="n">
        <v>2022</v>
      </c>
      <c r="B71" s="0" t="s">
        <v>14</v>
      </c>
      <c r="C71" s="0" t="s">
        <v>13</v>
      </c>
      <c r="D71" s="0" t="n">
        <v>143.4</v>
      </c>
      <c r="E71" s="0" t="n">
        <v>164.1</v>
      </c>
    </row>
    <row r="72" customFormat="false" ht="15" hidden="false" customHeight="false" outlineLevel="0" collapsed="false">
      <c r="A72" s="0" t="n">
        <v>2022</v>
      </c>
      <c r="B72" s="0" t="s">
        <v>14</v>
      </c>
      <c r="C72" s="0" t="s">
        <v>17</v>
      </c>
      <c r="D72" s="0" t="n">
        <v>427.1</v>
      </c>
      <c r="E72" s="0" t="n">
        <v>744.6</v>
      </c>
    </row>
    <row r="73" customFormat="false" ht="15" hidden="false" customHeight="false" outlineLevel="0" collapsed="false">
      <c r="A73" s="0" t="n">
        <v>2022</v>
      </c>
      <c r="B73" s="0" t="s">
        <v>14</v>
      </c>
      <c r="C73" s="0" t="s">
        <v>11</v>
      </c>
      <c r="D73" s="0" t="n">
        <v>86.3</v>
      </c>
      <c r="E73" s="0" t="n">
        <v>688.7</v>
      </c>
    </row>
    <row r="74" customFormat="false" ht="15" hidden="false" customHeight="false" outlineLevel="0" collapsed="false">
      <c r="A74" s="0" t="n">
        <v>2022</v>
      </c>
      <c r="B74" s="0" t="s">
        <v>16</v>
      </c>
      <c r="C74" s="0" t="s">
        <v>6</v>
      </c>
      <c r="D74" s="0" t="n">
        <v>899.4</v>
      </c>
      <c r="E74" s="0" t="n">
        <v>712.3</v>
      </c>
    </row>
    <row r="75" customFormat="false" ht="15" hidden="false" customHeight="false" outlineLevel="0" collapsed="false">
      <c r="A75" s="0" t="n">
        <v>2022</v>
      </c>
      <c r="B75" s="0" t="s">
        <v>16</v>
      </c>
      <c r="C75" s="0" t="s">
        <v>7</v>
      </c>
      <c r="D75" s="0" t="n">
        <v>872.7</v>
      </c>
      <c r="E75" s="0" t="n">
        <v>788.1</v>
      </c>
    </row>
    <row r="76" customFormat="false" ht="15" hidden="false" customHeight="false" outlineLevel="0" collapsed="false">
      <c r="A76" s="0" t="n">
        <v>2022</v>
      </c>
      <c r="B76" s="0" t="s">
        <v>16</v>
      </c>
      <c r="C76" s="0" t="s">
        <v>8</v>
      </c>
      <c r="D76" s="0" t="n">
        <v>766.9</v>
      </c>
      <c r="E76" s="0" t="n">
        <v>149.7</v>
      </c>
    </row>
    <row r="77" customFormat="false" ht="15" hidden="false" customHeight="false" outlineLevel="0" collapsed="false">
      <c r="A77" s="0" t="n">
        <v>2022</v>
      </c>
      <c r="B77" s="0" t="s">
        <v>18</v>
      </c>
      <c r="C77" s="0" t="s">
        <v>11</v>
      </c>
      <c r="D77" s="0" t="n">
        <v>780.9</v>
      </c>
      <c r="E77" s="0" t="n">
        <v>768.1</v>
      </c>
    </row>
    <row r="78" customFormat="false" ht="15" hidden="false" customHeight="false" outlineLevel="0" collapsed="false">
      <c r="A78" s="0" t="n">
        <v>2022</v>
      </c>
      <c r="B78" s="0" t="s">
        <v>18</v>
      </c>
      <c r="C78" s="0" t="s">
        <v>13</v>
      </c>
      <c r="D78" s="0" t="n">
        <v>164.9</v>
      </c>
      <c r="E78" s="0" t="n">
        <v>11.8</v>
      </c>
    </row>
    <row r="79" customFormat="false" ht="15" hidden="false" customHeight="false" outlineLevel="0" collapsed="false">
      <c r="A79" s="0" t="n">
        <v>2022</v>
      </c>
      <c r="B79" s="0" t="s">
        <v>18</v>
      </c>
      <c r="C79" s="0" t="s">
        <v>6</v>
      </c>
      <c r="D79" s="0" t="n">
        <v>363.6</v>
      </c>
      <c r="E79" s="0" t="n">
        <v>788.3</v>
      </c>
    </row>
    <row r="80" customFormat="false" ht="15" hidden="false" customHeight="false" outlineLevel="0" collapsed="false">
      <c r="A80" s="0" t="n">
        <v>2022</v>
      </c>
      <c r="B80" s="0" t="s">
        <v>19</v>
      </c>
      <c r="C80" s="0" t="s">
        <v>11</v>
      </c>
      <c r="D80" s="0" t="n">
        <v>633</v>
      </c>
      <c r="E80" s="0" t="n">
        <v>623.6</v>
      </c>
    </row>
    <row r="81" customFormat="false" ht="15" hidden="false" customHeight="false" outlineLevel="0" collapsed="false">
      <c r="A81" s="0" t="n">
        <v>2022</v>
      </c>
      <c r="B81" s="0" t="s">
        <v>19</v>
      </c>
      <c r="C81" s="0" t="s">
        <v>15</v>
      </c>
      <c r="D81" s="0" t="n">
        <v>709.4</v>
      </c>
      <c r="E81" s="0" t="n">
        <v>566</v>
      </c>
    </row>
    <row r="82" customFormat="false" ht="15" hidden="false" customHeight="false" outlineLevel="0" collapsed="false">
      <c r="A82" s="0" t="n">
        <v>2022</v>
      </c>
      <c r="B82" s="0" t="s">
        <v>19</v>
      </c>
      <c r="C82" s="0" t="s">
        <v>13</v>
      </c>
      <c r="D82" s="0" t="n">
        <v>448.3</v>
      </c>
      <c r="E82" s="0" t="n">
        <v>169.5</v>
      </c>
    </row>
    <row r="83" customFormat="false" ht="15" hidden="false" customHeight="false" outlineLevel="0" collapsed="false">
      <c r="A83" s="0" t="n">
        <v>2022</v>
      </c>
      <c r="B83" s="0" t="s">
        <v>20</v>
      </c>
      <c r="C83" s="0" t="s">
        <v>13</v>
      </c>
      <c r="D83" s="0" t="n">
        <v>667.4</v>
      </c>
      <c r="E83" s="0" t="n">
        <v>61.2</v>
      </c>
    </row>
    <row r="84" customFormat="false" ht="15" hidden="false" customHeight="false" outlineLevel="0" collapsed="false">
      <c r="A84" s="0" t="n">
        <v>2022</v>
      </c>
      <c r="B84" s="0" t="s">
        <v>20</v>
      </c>
      <c r="C84" s="0" t="s">
        <v>7</v>
      </c>
      <c r="D84" s="0" t="n">
        <v>296</v>
      </c>
      <c r="E84" s="0" t="n">
        <v>52.1</v>
      </c>
    </row>
    <row r="85" customFormat="false" ht="15" hidden="false" customHeight="false" outlineLevel="0" collapsed="false">
      <c r="A85" s="0" t="n">
        <v>2022</v>
      </c>
      <c r="B85" s="0" t="s">
        <v>20</v>
      </c>
      <c r="C85" s="0" t="s">
        <v>17</v>
      </c>
      <c r="D85" s="0" t="n">
        <v>439.6</v>
      </c>
      <c r="E85" s="0" t="n">
        <v>782.3</v>
      </c>
    </row>
    <row r="86" customFormat="false" ht="15" hidden="false" customHeight="false" outlineLevel="0" collapsed="false">
      <c r="A86" s="0" t="n">
        <v>2022</v>
      </c>
      <c r="B86" s="0" t="s">
        <v>21</v>
      </c>
      <c r="C86" s="0" t="s">
        <v>15</v>
      </c>
      <c r="D86" s="0" t="n">
        <v>90.5</v>
      </c>
      <c r="E86" s="0" t="n">
        <v>166.1</v>
      </c>
    </row>
    <row r="87" customFormat="false" ht="15" hidden="false" customHeight="false" outlineLevel="0" collapsed="false">
      <c r="A87" s="0" t="n">
        <v>2022</v>
      </c>
      <c r="B87" s="0" t="s">
        <v>21</v>
      </c>
      <c r="C87" s="0" t="s">
        <v>7</v>
      </c>
      <c r="D87" s="0" t="n">
        <v>543.6</v>
      </c>
      <c r="E87" s="0" t="n">
        <v>577.2</v>
      </c>
    </row>
    <row r="88" customFormat="false" ht="15" hidden="false" customHeight="false" outlineLevel="0" collapsed="false">
      <c r="A88" s="0" t="n">
        <v>2022</v>
      </c>
      <c r="B88" s="0" t="s">
        <v>21</v>
      </c>
      <c r="C88" s="0" t="s">
        <v>17</v>
      </c>
      <c r="D88" s="0" t="n">
        <v>227</v>
      </c>
      <c r="E88" s="0" t="n">
        <v>110.7</v>
      </c>
    </row>
    <row r="89" customFormat="false" ht="15" hidden="false" customHeight="false" outlineLevel="0" collapsed="false">
      <c r="A89" s="0" t="n">
        <v>2022</v>
      </c>
      <c r="B89" s="0" t="s">
        <v>22</v>
      </c>
      <c r="C89" s="0" t="s">
        <v>13</v>
      </c>
      <c r="D89" s="0" t="n">
        <v>55</v>
      </c>
      <c r="E89" s="0" t="n">
        <v>78.9</v>
      </c>
    </row>
    <row r="90" customFormat="false" ht="15" hidden="false" customHeight="false" outlineLevel="0" collapsed="false">
      <c r="A90" s="0" t="n">
        <v>2022</v>
      </c>
      <c r="B90" s="0" t="s">
        <v>22</v>
      </c>
      <c r="C90" s="0" t="s">
        <v>17</v>
      </c>
      <c r="D90" s="0" t="n">
        <v>598.5</v>
      </c>
      <c r="E90" s="0" t="n">
        <v>484.8</v>
      </c>
    </row>
    <row r="91" customFormat="false" ht="15" hidden="false" customHeight="false" outlineLevel="0" collapsed="false">
      <c r="A91" s="0" t="n">
        <v>2022</v>
      </c>
      <c r="B91" s="0" t="s">
        <v>22</v>
      </c>
      <c r="C91" s="0" t="s">
        <v>10</v>
      </c>
      <c r="D91" s="0" t="n">
        <v>298.4</v>
      </c>
      <c r="E91" s="0" t="n">
        <v>229</v>
      </c>
    </row>
    <row r="92" customFormat="false" ht="15" hidden="false" customHeight="false" outlineLevel="0" collapsed="false">
      <c r="A92" s="0" t="n">
        <v>2023</v>
      </c>
      <c r="B92" s="0" t="s">
        <v>5</v>
      </c>
      <c r="C92" s="0" t="s">
        <v>8</v>
      </c>
      <c r="D92" s="0" t="n">
        <v>368.3</v>
      </c>
      <c r="E92" s="0" t="n">
        <v>574.2</v>
      </c>
    </row>
    <row r="93" customFormat="false" ht="15" hidden="false" customHeight="false" outlineLevel="0" collapsed="false">
      <c r="A93" s="0" t="n">
        <v>2023</v>
      </c>
      <c r="B93" s="0" t="s">
        <v>5</v>
      </c>
      <c r="C93" s="0" t="s">
        <v>6</v>
      </c>
      <c r="D93" s="0" t="n">
        <v>284</v>
      </c>
      <c r="E93" s="0" t="n">
        <v>275.6</v>
      </c>
    </row>
    <row r="94" customFormat="false" ht="15" hidden="false" customHeight="false" outlineLevel="0" collapsed="false">
      <c r="A94" s="0" t="n">
        <v>2023</v>
      </c>
      <c r="B94" s="0" t="s">
        <v>5</v>
      </c>
      <c r="C94" s="0" t="s">
        <v>15</v>
      </c>
      <c r="D94" s="0" t="n">
        <v>681.6</v>
      </c>
      <c r="E94" s="0" t="n">
        <v>70.9</v>
      </c>
    </row>
    <row r="95" customFormat="false" ht="15" hidden="false" customHeight="false" outlineLevel="0" collapsed="false">
      <c r="A95" s="0" t="n">
        <v>2023</v>
      </c>
      <c r="B95" s="0" t="s">
        <v>9</v>
      </c>
      <c r="C95" s="0" t="s">
        <v>11</v>
      </c>
      <c r="D95" s="0" t="n">
        <v>896.6</v>
      </c>
      <c r="E95" s="0" t="n">
        <v>71.5</v>
      </c>
    </row>
    <row r="96" customFormat="false" ht="15" hidden="false" customHeight="false" outlineLevel="0" collapsed="false">
      <c r="A96" s="0" t="n">
        <v>2023</v>
      </c>
      <c r="B96" s="0" t="s">
        <v>9</v>
      </c>
      <c r="C96" s="0" t="s">
        <v>17</v>
      </c>
      <c r="D96" s="0" t="n">
        <v>207.6</v>
      </c>
      <c r="E96" s="0" t="n">
        <v>232.8</v>
      </c>
    </row>
    <row r="97" customFormat="false" ht="15" hidden="false" customHeight="false" outlineLevel="0" collapsed="false">
      <c r="A97" s="0" t="n">
        <v>2023</v>
      </c>
      <c r="B97" s="0" t="s">
        <v>9</v>
      </c>
      <c r="C97" s="0" t="s">
        <v>10</v>
      </c>
      <c r="D97" s="0" t="n">
        <v>841.3</v>
      </c>
      <c r="E97" s="0" t="n">
        <v>749.9</v>
      </c>
    </row>
    <row r="98" customFormat="false" ht="15" hidden="false" customHeight="false" outlineLevel="0" collapsed="false">
      <c r="A98" s="0" t="n">
        <v>2023</v>
      </c>
      <c r="B98" s="0" t="s">
        <v>12</v>
      </c>
      <c r="C98" s="0" t="s">
        <v>13</v>
      </c>
      <c r="D98" s="0" t="n">
        <v>158.8</v>
      </c>
      <c r="E98" s="0" t="n">
        <v>710.3</v>
      </c>
    </row>
    <row r="99" customFormat="false" ht="15" hidden="false" customHeight="false" outlineLevel="0" collapsed="false">
      <c r="A99" s="0" t="n">
        <v>2023</v>
      </c>
      <c r="B99" s="0" t="s">
        <v>12</v>
      </c>
      <c r="C99" s="0" t="s">
        <v>15</v>
      </c>
      <c r="D99" s="0" t="n">
        <v>639.1</v>
      </c>
      <c r="E99" s="0" t="n">
        <v>523.8</v>
      </c>
    </row>
    <row r="100" customFormat="false" ht="15" hidden="false" customHeight="false" outlineLevel="0" collapsed="false">
      <c r="A100" s="0" t="n">
        <v>2023</v>
      </c>
      <c r="B100" s="0" t="s">
        <v>12</v>
      </c>
      <c r="C100" s="0" t="s">
        <v>10</v>
      </c>
      <c r="D100" s="0" t="n">
        <v>888.8</v>
      </c>
      <c r="E100" s="0" t="n">
        <v>559.3</v>
      </c>
    </row>
    <row r="101" customFormat="false" ht="15" hidden="false" customHeight="false" outlineLevel="0" collapsed="false">
      <c r="A101" s="0" t="n">
        <v>2023</v>
      </c>
      <c r="B101" s="0" t="s">
        <v>14</v>
      </c>
      <c r="C101" s="0" t="s">
        <v>7</v>
      </c>
      <c r="D101" s="0" t="n">
        <v>283.5</v>
      </c>
      <c r="E101" s="0" t="n">
        <v>567.2</v>
      </c>
    </row>
    <row r="102" customFormat="false" ht="15" hidden="false" customHeight="false" outlineLevel="0" collapsed="false">
      <c r="A102" s="0" t="n">
        <v>2023</v>
      </c>
      <c r="B102" s="0" t="s">
        <v>14</v>
      </c>
      <c r="C102" s="0" t="s">
        <v>8</v>
      </c>
      <c r="D102" s="0" t="n">
        <v>846.3</v>
      </c>
      <c r="E102" s="0" t="n">
        <v>122.8</v>
      </c>
    </row>
    <row r="103" customFormat="false" ht="15" hidden="false" customHeight="false" outlineLevel="0" collapsed="false">
      <c r="A103" s="0" t="n">
        <v>2023</v>
      </c>
      <c r="B103" s="0" t="s">
        <v>14</v>
      </c>
      <c r="C103" s="0" t="s">
        <v>17</v>
      </c>
      <c r="D103" s="0" t="n">
        <v>121.6</v>
      </c>
      <c r="E103" s="0" t="n">
        <v>99.9</v>
      </c>
    </row>
    <row r="104" customFormat="false" ht="15" hidden="false" customHeight="false" outlineLevel="0" collapsed="false">
      <c r="A104" s="0" t="n">
        <v>2023</v>
      </c>
      <c r="B104" s="0" t="s">
        <v>16</v>
      </c>
      <c r="C104" s="0" t="s">
        <v>15</v>
      </c>
      <c r="D104" s="0" t="n">
        <v>552.3</v>
      </c>
      <c r="E104" s="0" t="n">
        <v>612.8</v>
      </c>
    </row>
    <row r="105" customFormat="false" ht="15" hidden="false" customHeight="false" outlineLevel="0" collapsed="false">
      <c r="A105" s="0" t="n">
        <v>2023</v>
      </c>
      <c r="B105" s="0" t="s">
        <v>16</v>
      </c>
      <c r="C105" s="0" t="s">
        <v>11</v>
      </c>
      <c r="D105" s="0" t="n">
        <v>199.2</v>
      </c>
      <c r="E105" s="0" t="n">
        <v>542.8</v>
      </c>
    </row>
    <row r="106" customFormat="false" ht="15" hidden="false" customHeight="false" outlineLevel="0" collapsed="false">
      <c r="A106" s="0" t="n">
        <v>2023</v>
      </c>
      <c r="B106" s="0" t="s">
        <v>16</v>
      </c>
      <c r="C106" s="0" t="s">
        <v>10</v>
      </c>
      <c r="D106" s="0" t="n">
        <v>252.3</v>
      </c>
      <c r="E106" s="0" t="n">
        <v>420.4</v>
      </c>
    </row>
    <row r="107" customFormat="false" ht="15" hidden="false" customHeight="false" outlineLevel="0" collapsed="false">
      <c r="A107" s="0" t="n">
        <v>2023</v>
      </c>
      <c r="B107" s="0" t="s">
        <v>18</v>
      </c>
      <c r="C107" s="0" t="s">
        <v>7</v>
      </c>
      <c r="D107" s="0" t="n">
        <v>392.7</v>
      </c>
      <c r="E107" s="0" t="n">
        <v>242.4</v>
      </c>
    </row>
    <row r="108" customFormat="false" ht="15" hidden="false" customHeight="false" outlineLevel="0" collapsed="false">
      <c r="A108" s="0" t="n">
        <v>2023</v>
      </c>
      <c r="B108" s="0" t="s">
        <v>18</v>
      </c>
      <c r="C108" s="0" t="s">
        <v>11</v>
      </c>
      <c r="D108" s="0" t="n">
        <v>23.1</v>
      </c>
      <c r="E108" s="0" t="n">
        <v>657.7</v>
      </c>
    </row>
    <row r="109" customFormat="false" ht="15" hidden="false" customHeight="false" outlineLevel="0" collapsed="false">
      <c r="A109" s="0" t="n">
        <v>2023</v>
      </c>
      <c r="B109" s="0" t="s">
        <v>18</v>
      </c>
      <c r="C109" s="0" t="s">
        <v>8</v>
      </c>
      <c r="D109" s="0" t="n">
        <v>580.7</v>
      </c>
      <c r="E109" s="0" t="n">
        <v>230</v>
      </c>
    </row>
    <row r="110" customFormat="false" ht="15" hidden="false" customHeight="false" outlineLevel="0" collapsed="false">
      <c r="A110" s="0" t="n">
        <v>2023</v>
      </c>
      <c r="B110" s="0" t="s">
        <v>19</v>
      </c>
      <c r="C110" s="0" t="s">
        <v>11</v>
      </c>
      <c r="D110" s="0" t="n">
        <v>396.4</v>
      </c>
      <c r="E110" s="0" t="n">
        <v>18.1</v>
      </c>
    </row>
    <row r="111" customFormat="false" ht="15" hidden="false" customHeight="false" outlineLevel="0" collapsed="false">
      <c r="A111" s="0" t="n">
        <v>2023</v>
      </c>
      <c r="B111" s="0" t="s">
        <v>19</v>
      </c>
      <c r="C111" s="0" t="s">
        <v>17</v>
      </c>
      <c r="D111" s="0" t="n">
        <v>86.2</v>
      </c>
      <c r="E111" s="0" t="n">
        <v>751.8</v>
      </c>
    </row>
    <row r="112" customFormat="false" ht="15" hidden="false" customHeight="false" outlineLevel="0" collapsed="false">
      <c r="A112" s="0" t="n">
        <v>2023</v>
      </c>
      <c r="B112" s="0" t="s">
        <v>19</v>
      </c>
      <c r="C112" s="0" t="s">
        <v>8</v>
      </c>
      <c r="D112" s="0" t="n">
        <v>815.5</v>
      </c>
      <c r="E112" s="0" t="n">
        <v>468.3</v>
      </c>
    </row>
    <row r="113" customFormat="false" ht="15" hidden="false" customHeight="false" outlineLevel="0" collapsed="false">
      <c r="A113" s="0" t="n">
        <v>2023</v>
      </c>
      <c r="B113" s="0" t="s">
        <v>20</v>
      </c>
      <c r="C113" s="0" t="s">
        <v>8</v>
      </c>
      <c r="D113" s="0" t="n">
        <v>150.3</v>
      </c>
      <c r="E113" s="0" t="n">
        <v>117.1</v>
      </c>
    </row>
    <row r="114" customFormat="false" ht="15" hidden="false" customHeight="false" outlineLevel="0" collapsed="false">
      <c r="A114" s="0" t="n">
        <v>2023</v>
      </c>
      <c r="B114" s="0" t="s">
        <v>20</v>
      </c>
      <c r="C114" s="0" t="s">
        <v>17</v>
      </c>
      <c r="D114" s="0" t="n">
        <v>291.3</v>
      </c>
      <c r="E114" s="0" t="n">
        <v>765.1</v>
      </c>
    </row>
    <row r="115" customFormat="false" ht="15" hidden="false" customHeight="false" outlineLevel="0" collapsed="false">
      <c r="A115" s="0" t="n">
        <v>2023</v>
      </c>
      <c r="B115" s="0" t="s">
        <v>20</v>
      </c>
      <c r="C115" s="0" t="s">
        <v>10</v>
      </c>
      <c r="D115" s="0" t="n">
        <v>720.6</v>
      </c>
      <c r="E115" s="0" t="n">
        <v>733</v>
      </c>
    </row>
    <row r="116" customFormat="false" ht="15" hidden="false" customHeight="false" outlineLevel="0" collapsed="false">
      <c r="A116" s="0" t="n">
        <v>2023</v>
      </c>
      <c r="B116" s="0" t="s">
        <v>21</v>
      </c>
      <c r="C116" s="0" t="s">
        <v>8</v>
      </c>
      <c r="D116" s="0" t="n">
        <v>239.6</v>
      </c>
      <c r="E116" s="0" t="n">
        <v>96.3</v>
      </c>
    </row>
    <row r="117" customFormat="false" ht="15" hidden="false" customHeight="false" outlineLevel="0" collapsed="false">
      <c r="A117" s="0" t="n">
        <v>2023</v>
      </c>
      <c r="B117" s="0" t="s">
        <v>21</v>
      </c>
      <c r="C117" s="0" t="s">
        <v>6</v>
      </c>
      <c r="D117" s="0" t="n">
        <v>706.5</v>
      </c>
      <c r="E117" s="0" t="n">
        <v>752.7</v>
      </c>
    </row>
    <row r="118" customFormat="false" ht="15" hidden="false" customHeight="false" outlineLevel="0" collapsed="false">
      <c r="A118" s="0" t="n">
        <v>2023</v>
      </c>
      <c r="B118" s="0" t="s">
        <v>21</v>
      </c>
      <c r="C118" s="0" t="s">
        <v>11</v>
      </c>
      <c r="D118" s="0" t="n">
        <v>377.6</v>
      </c>
      <c r="E118" s="0" t="n">
        <v>531.4</v>
      </c>
    </row>
    <row r="119" customFormat="false" ht="15" hidden="false" customHeight="false" outlineLevel="0" collapsed="false">
      <c r="A119" s="0" t="n">
        <v>2023</v>
      </c>
      <c r="B119" s="0" t="s">
        <v>22</v>
      </c>
      <c r="C119" s="0" t="s">
        <v>15</v>
      </c>
      <c r="D119" s="0" t="n">
        <v>879.1</v>
      </c>
      <c r="E119" s="0" t="n">
        <v>691</v>
      </c>
    </row>
    <row r="120" customFormat="false" ht="15" hidden="false" customHeight="false" outlineLevel="0" collapsed="false">
      <c r="A120" s="0" t="n">
        <v>2023</v>
      </c>
      <c r="B120" s="0" t="s">
        <v>22</v>
      </c>
      <c r="C120" s="0" t="s">
        <v>6</v>
      </c>
      <c r="D120" s="0" t="n">
        <v>795.6</v>
      </c>
      <c r="E120" s="0" t="n">
        <v>30.8</v>
      </c>
    </row>
    <row r="121" customFormat="false" ht="15" hidden="false" customHeight="false" outlineLevel="0" collapsed="false">
      <c r="A121" s="0" t="n">
        <v>2023</v>
      </c>
      <c r="B121" s="0" t="s">
        <v>22</v>
      </c>
      <c r="C121" s="0" t="s">
        <v>10</v>
      </c>
      <c r="D121" s="0" t="n">
        <v>668.2</v>
      </c>
      <c r="E121" s="0" t="n">
        <v>289</v>
      </c>
    </row>
    <row r="122" customFormat="false" ht="15" hidden="false" customHeight="false" outlineLevel="0" collapsed="false">
      <c r="A122" s="0" t="n">
        <v>2024</v>
      </c>
      <c r="B122" s="0" t="s">
        <v>5</v>
      </c>
      <c r="C122" s="0" t="s">
        <v>10</v>
      </c>
      <c r="D122" s="0" t="n">
        <v>780.4</v>
      </c>
      <c r="E122" s="0" t="n">
        <v>691</v>
      </c>
    </row>
    <row r="123" customFormat="false" ht="15" hidden="false" customHeight="false" outlineLevel="0" collapsed="false">
      <c r="A123" s="0" t="n">
        <v>2024</v>
      </c>
      <c r="B123" s="0" t="s">
        <v>5</v>
      </c>
      <c r="C123" s="0" t="s">
        <v>11</v>
      </c>
      <c r="D123" s="0" t="n">
        <v>254.8</v>
      </c>
      <c r="E123" s="0" t="n">
        <v>671.4</v>
      </c>
    </row>
    <row r="124" customFormat="false" ht="15" hidden="false" customHeight="false" outlineLevel="0" collapsed="false">
      <c r="A124" s="0" t="n">
        <v>2024</v>
      </c>
      <c r="B124" s="0" t="s">
        <v>5</v>
      </c>
      <c r="C124" s="0" t="s">
        <v>8</v>
      </c>
      <c r="D124" s="0" t="n">
        <v>115.1</v>
      </c>
      <c r="E124" s="0" t="n">
        <v>742.6</v>
      </c>
    </row>
    <row r="125" customFormat="false" ht="15" hidden="false" customHeight="false" outlineLevel="0" collapsed="false">
      <c r="A125" s="0" t="n">
        <v>2024</v>
      </c>
      <c r="B125" s="0" t="s">
        <v>9</v>
      </c>
      <c r="C125" s="0" t="s">
        <v>11</v>
      </c>
      <c r="D125" s="0" t="n">
        <v>738.6</v>
      </c>
      <c r="E125" s="0" t="n">
        <v>396.7</v>
      </c>
    </row>
    <row r="126" customFormat="false" ht="15" hidden="false" customHeight="false" outlineLevel="0" collapsed="false">
      <c r="A126" s="0" t="n">
        <v>2024</v>
      </c>
      <c r="B126" s="0" t="s">
        <v>9</v>
      </c>
      <c r="C126" s="0" t="s">
        <v>6</v>
      </c>
      <c r="D126" s="0" t="n">
        <v>288.6</v>
      </c>
      <c r="E126" s="0" t="n">
        <v>678.1</v>
      </c>
    </row>
    <row r="127" customFormat="false" ht="15" hidden="false" customHeight="false" outlineLevel="0" collapsed="false">
      <c r="A127" s="0" t="n">
        <v>2024</v>
      </c>
      <c r="B127" s="0" t="s">
        <v>9</v>
      </c>
      <c r="C127" s="0" t="s">
        <v>10</v>
      </c>
      <c r="D127" s="0" t="n">
        <v>220.3</v>
      </c>
      <c r="E127" s="0" t="n">
        <v>29.9</v>
      </c>
    </row>
    <row r="128" customFormat="false" ht="15" hidden="false" customHeight="false" outlineLevel="0" collapsed="false">
      <c r="A128" s="0" t="n">
        <v>2024</v>
      </c>
      <c r="B128" s="0" t="s">
        <v>12</v>
      </c>
      <c r="C128" s="0" t="s">
        <v>13</v>
      </c>
      <c r="D128" s="0" t="n">
        <v>265.2</v>
      </c>
      <c r="E128" s="0" t="n">
        <v>68.3</v>
      </c>
    </row>
    <row r="129" customFormat="false" ht="15" hidden="false" customHeight="false" outlineLevel="0" collapsed="false">
      <c r="A129" s="0" t="n">
        <v>2024</v>
      </c>
      <c r="B129" s="0" t="s">
        <v>12</v>
      </c>
      <c r="C129" s="0" t="s">
        <v>11</v>
      </c>
      <c r="D129" s="0" t="n">
        <v>700.5</v>
      </c>
      <c r="E129" s="0" t="n">
        <v>305</v>
      </c>
    </row>
    <row r="130" customFormat="false" ht="15" hidden="false" customHeight="false" outlineLevel="0" collapsed="false">
      <c r="A130" s="0" t="n">
        <v>2024</v>
      </c>
      <c r="B130" s="0" t="s">
        <v>12</v>
      </c>
      <c r="C130" s="0" t="s">
        <v>15</v>
      </c>
      <c r="D130" s="0" t="n">
        <v>468.3</v>
      </c>
      <c r="E130" s="0" t="n">
        <v>580.8</v>
      </c>
    </row>
    <row r="131" customFormat="false" ht="15" hidden="false" customHeight="false" outlineLevel="0" collapsed="false">
      <c r="A131" s="0" t="n">
        <v>2024</v>
      </c>
      <c r="B131" s="0" t="s">
        <v>14</v>
      </c>
      <c r="C131" s="0" t="s">
        <v>8</v>
      </c>
      <c r="D131" s="0" t="n">
        <v>791.8</v>
      </c>
      <c r="E131" s="0" t="n">
        <v>229.4</v>
      </c>
    </row>
    <row r="132" customFormat="false" ht="15" hidden="false" customHeight="false" outlineLevel="0" collapsed="false">
      <c r="A132" s="0" t="n">
        <v>2024</v>
      </c>
      <c r="B132" s="0" t="s">
        <v>14</v>
      </c>
      <c r="C132" s="0" t="s">
        <v>7</v>
      </c>
      <c r="D132" s="0" t="n">
        <v>530.9</v>
      </c>
      <c r="E132" s="0" t="n">
        <v>836.2</v>
      </c>
    </row>
    <row r="133" customFormat="false" ht="15" hidden="false" customHeight="false" outlineLevel="0" collapsed="false">
      <c r="A133" s="0" t="n">
        <v>2024</v>
      </c>
      <c r="B133" s="0" t="s">
        <v>14</v>
      </c>
      <c r="C133" s="0" t="s">
        <v>10</v>
      </c>
      <c r="D133" s="0" t="n">
        <v>53.7</v>
      </c>
      <c r="E133" s="0" t="n">
        <v>511.1</v>
      </c>
    </row>
    <row r="134" customFormat="false" ht="15" hidden="false" customHeight="false" outlineLevel="0" collapsed="false">
      <c r="A134" s="0" t="n">
        <v>2024</v>
      </c>
      <c r="B134" s="0" t="s">
        <v>16</v>
      </c>
      <c r="C134" s="0" t="s">
        <v>8</v>
      </c>
      <c r="D134" s="0" t="n">
        <v>404</v>
      </c>
      <c r="E134" s="0" t="n">
        <v>836.8</v>
      </c>
    </row>
    <row r="135" customFormat="false" ht="15" hidden="false" customHeight="false" outlineLevel="0" collapsed="false">
      <c r="A135" s="0" t="n">
        <v>2024</v>
      </c>
      <c r="B135" s="0" t="s">
        <v>16</v>
      </c>
      <c r="C135" s="0" t="s">
        <v>11</v>
      </c>
      <c r="D135" s="0" t="n">
        <v>121.8</v>
      </c>
      <c r="E135" s="0" t="n">
        <v>765.6</v>
      </c>
    </row>
    <row r="136" customFormat="false" ht="15" hidden="false" customHeight="false" outlineLevel="0" collapsed="false">
      <c r="A136" s="0" t="n">
        <v>2024</v>
      </c>
      <c r="B136" s="0" t="s">
        <v>16</v>
      </c>
      <c r="C136" s="0" t="s">
        <v>15</v>
      </c>
      <c r="D136" s="0" t="n">
        <v>187.3</v>
      </c>
      <c r="E136" s="0" t="n">
        <v>47.3</v>
      </c>
    </row>
    <row r="137" customFormat="false" ht="15" hidden="false" customHeight="false" outlineLevel="0" collapsed="false">
      <c r="A137" s="0" t="n">
        <v>2024</v>
      </c>
      <c r="B137" s="0" t="s">
        <v>18</v>
      </c>
      <c r="C137" s="0" t="s">
        <v>10</v>
      </c>
      <c r="D137" s="0" t="n">
        <v>834.5</v>
      </c>
      <c r="E137" s="0" t="n">
        <v>462.3</v>
      </c>
    </row>
    <row r="138" customFormat="false" ht="15" hidden="false" customHeight="false" outlineLevel="0" collapsed="false">
      <c r="A138" s="0" t="n">
        <v>2024</v>
      </c>
      <c r="B138" s="0" t="s">
        <v>18</v>
      </c>
      <c r="C138" s="0" t="s">
        <v>7</v>
      </c>
      <c r="D138" s="0" t="n">
        <v>653.1</v>
      </c>
      <c r="E138" s="0" t="n">
        <v>633.2</v>
      </c>
    </row>
    <row r="139" customFormat="false" ht="15" hidden="false" customHeight="false" outlineLevel="0" collapsed="false">
      <c r="A139" s="0" t="n">
        <v>2024</v>
      </c>
      <c r="B139" s="0" t="s">
        <v>18</v>
      </c>
      <c r="C139" s="0" t="s">
        <v>17</v>
      </c>
      <c r="D139" s="0" t="n">
        <v>610.2</v>
      </c>
      <c r="E139" s="0" t="n">
        <v>315.9</v>
      </c>
    </row>
    <row r="140" customFormat="false" ht="15" hidden="false" customHeight="false" outlineLevel="0" collapsed="false">
      <c r="A140" s="0" t="n">
        <v>2024</v>
      </c>
      <c r="B140" s="0" t="s">
        <v>19</v>
      </c>
      <c r="C140" s="0" t="s">
        <v>6</v>
      </c>
      <c r="D140" s="0" t="n">
        <v>568.4</v>
      </c>
      <c r="E140" s="0" t="n">
        <v>567.2</v>
      </c>
    </row>
    <row r="141" customFormat="false" ht="15" hidden="false" customHeight="false" outlineLevel="0" collapsed="false">
      <c r="A141" s="0" t="n">
        <v>2024</v>
      </c>
      <c r="B141" s="0" t="s">
        <v>19</v>
      </c>
      <c r="C141" s="0" t="s">
        <v>8</v>
      </c>
      <c r="D141" s="0" t="n">
        <v>129.7</v>
      </c>
      <c r="E141" s="0" t="n">
        <v>766</v>
      </c>
    </row>
    <row r="142" customFormat="false" ht="15" hidden="false" customHeight="false" outlineLevel="0" collapsed="false">
      <c r="A142" s="0" t="n">
        <v>2024</v>
      </c>
      <c r="B142" s="0" t="s">
        <v>19</v>
      </c>
      <c r="C142" s="0" t="s">
        <v>15</v>
      </c>
      <c r="D142" s="0" t="n">
        <v>466.3</v>
      </c>
      <c r="E142" s="0" t="n">
        <v>570.2</v>
      </c>
    </row>
    <row r="143" customFormat="false" ht="15" hidden="false" customHeight="false" outlineLevel="0" collapsed="false">
      <c r="A143" s="0" t="n">
        <v>2024</v>
      </c>
      <c r="B143" s="0" t="s">
        <v>20</v>
      </c>
      <c r="C143" s="0" t="s">
        <v>8</v>
      </c>
      <c r="D143" s="0" t="n">
        <v>280.2</v>
      </c>
      <c r="E143" s="0" t="n">
        <v>116.9</v>
      </c>
    </row>
    <row r="144" customFormat="false" ht="15" hidden="false" customHeight="false" outlineLevel="0" collapsed="false">
      <c r="A144" s="0" t="n">
        <v>2024</v>
      </c>
      <c r="B144" s="0" t="s">
        <v>20</v>
      </c>
      <c r="C144" s="0" t="s">
        <v>13</v>
      </c>
      <c r="D144" s="0" t="n">
        <v>390</v>
      </c>
      <c r="E144" s="0" t="n">
        <v>799.9</v>
      </c>
    </row>
    <row r="145" customFormat="false" ht="15" hidden="false" customHeight="false" outlineLevel="0" collapsed="false">
      <c r="A145" s="0" t="n">
        <v>2024</v>
      </c>
      <c r="B145" s="0" t="s">
        <v>20</v>
      </c>
      <c r="C145" s="0" t="s">
        <v>11</v>
      </c>
      <c r="D145" s="0" t="n">
        <v>616</v>
      </c>
      <c r="E145" s="0" t="n">
        <v>768.4</v>
      </c>
    </row>
    <row r="146" customFormat="false" ht="15" hidden="false" customHeight="false" outlineLevel="0" collapsed="false">
      <c r="A146" s="0" t="n">
        <v>2024</v>
      </c>
      <c r="B146" s="0" t="s">
        <v>21</v>
      </c>
      <c r="C146" s="0" t="s">
        <v>17</v>
      </c>
      <c r="D146" s="0" t="n">
        <v>753.7</v>
      </c>
      <c r="E146" s="0" t="n">
        <v>265.3</v>
      </c>
    </row>
    <row r="147" customFormat="false" ht="15" hidden="false" customHeight="false" outlineLevel="0" collapsed="false">
      <c r="A147" s="0" t="n">
        <v>2024</v>
      </c>
      <c r="B147" s="0" t="s">
        <v>21</v>
      </c>
      <c r="C147" s="0" t="s">
        <v>13</v>
      </c>
      <c r="D147" s="0" t="n">
        <v>205</v>
      </c>
      <c r="E147" s="0" t="n">
        <v>670</v>
      </c>
    </row>
    <row r="148" customFormat="false" ht="15" hidden="false" customHeight="false" outlineLevel="0" collapsed="false">
      <c r="A148" s="0" t="n">
        <v>2024</v>
      </c>
      <c r="B148" s="0" t="s">
        <v>21</v>
      </c>
      <c r="C148" s="0" t="s">
        <v>11</v>
      </c>
      <c r="D148" s="0" t="n">
        <v>553.9</v>
      </c>
      <c r="E148" s="0" t="n">
        <v>280.7</v>
      </c>
    </row>
    <row r="149" customFormat="false" ht="15" hidden="false" customHeight="false" outlineLevel="0" collapsed="false">
      <c r="A149" s="0" t="n">
        <v>2024</v>
      </c>
      <c r="B149" s="0" t="s">
        <v>22</v>
      </c>
      <c r="C149" s="0" t="s">
        <v>11</v>
      </c>
      <c r="D149" s="0" t="n">
        <v>208.1</v>
      </c>
      <c r="E149" s="0" t="n">
        <v>407.5</v>
      </c>
    </row>
    <row r="150" customFormat="false" ht="15" hidden="false" customHeight="false" outlineLevel="0" collapsed="false">
      <c r="A150" s="0" t="n">
        <v>2024</v>
      </c>
      <c r="B150" s="0" t="s">
        <v>22</v>
      </c>
      <c r="C150" s="0" t="s">
        <v>13</v>
      </c>
      <c r="D150" s="0" t="n">
        <v>813</v>
      </c>
      <c r="E150" s="0" t="n">
        <v>678.7</v>
      </c>
    </row>
    <row r="151" customFormat="false" ht="15" hidden="false" customHeight="false" outlineLevel="0" collapsed="false">
      <c r="A151" s="0" t="n">
        <v>2024</v>
      </c>
      <c r="B151" s="0" t="s">
        <v>22</v>
      </c>
      <c r="C151" s="0" t="s">
        <v>8</v>
      </c>
      <c r="D151" s="0" t="n">
        <v>169.3</v>
      </c>
      <c r="E151" s="0" t="n">
        <v>81.2</v>
      </c>
    </row>
    <row r="154" customFormat="false" ht="15" hidden="false" customHeight="false" outlineLevel="0" collapsed="false">
      <c r="A154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3" t="s">
        <v>24</v>
      </c>
      <c r="B1" s="3"/>
      <c r="C1" s="3"/>
      <c r="D1" s="3"/>
      <c r="E1" s="3"/>
      <c r="F1" s="3"/>
    </row>
    <row r="3" customFormat="false" ht="26.85" hidden="false" customHeight="false" outlineLevel="0" collapsed="false">
      <c r="A3" s="4" t="s">
        <v>2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5" t="s">
        <v>30</v>
      </c>
    </row>
    <row r="4" customFormat="false" ht="15" hidden="false" customHeight="false" outlineLevel="0" collapsed="false">
      <c r="A4" s="0" t="s">
        <v>7</v>
      </c>
      <c r="B4" s="6" t="n">
        <f aca="false">SUMIFS('Trade Data'!$D$2:$D$151,'Trade Data'!$C$2:$C$151,A4)</f>
        <v>7123.5</v>
      </c>
      <c r="C4" s="6" t="n">
        <f aca="false">SUMIFS('Trade Data'!$E$2:$E$151,'Trade Data'!$C$2:$C$151,A4)</f>
        <v>6089.7</v>
      </c>
      <c r="D4" s="6" t="n">
        <f aca="false">B4-C4</f>
        <v>1033.8</v>
      </c>
      <c r="E4" s="0" t="str">
        <f aca="false">INDEX('Trade Data'!$B$2:$B$151,MATCH(1,('Trade Data'!$C$2:$C$151=A4)*('Trade Data'!$D$2:$D$151=F4),0))</f>
        <v>China</v>
      </c>
      <c r="F4" s="6" t="n">
        <f aca="false">_xlfn.MAXIFS('Trade Data'!$D$2:$D$151,'Trade Data'!$C$2:$C$151,A4)</f>
        <v>886.1</v>
      </c>
      <c r="G4" s="0" t="str">
        <f aca="false">IF(D4&lt;0,"Deficit","Surplus")</f>
        <v>Surplus</v>
      </c>
    </row>
    <row r="5" customFormat="false" ht="15" hidden="false" customHeight="false" outlineLevel="0" collapsed="false">
      <c r="A5" s="0" t="s">
        <v>6</v>
      </c>
      <c r="B5" s="6" t="n">
        <f aca="false">SUMIFS('Trade Data'!$D$2:$D$151,'Trade Data'!$C$2:$C$151,A5)</f>
        <v>7593.7</v>
      </c>
      <c r="C5" s="6" t="n">
        <f aca="false">SUMIFS('Trade Data'!$E$2:$E$151,'Trade Data'!$C$2:$C$151,A5)</f>
        <v>8191.3</v>
      </c>
      <c r="D5" s="6" t="n">
        <f aca="false">B5-C5</f>
        <v>-597.6</v>
      </c>
      <c r="E5" s="0" t="str">
        <f aca="false">INDEX('Trade Data'!$B$2:$B$151,MATCH(1,('Trade Data'!$C$2:$C$151=A5)*('Trade Data'!$D$2:$D$151=F5),0))</f>
        <v>UK</v>
      </c>
      <c r="F5" s="7" t="n">
        <f aca="false">_xlfn.MAXIFS('Trade Data'!$D$2:$D$151,'Trade Data'!$C$2:$C$151,A5)</f>
        <v>899.4</v>
      </c>
      <c r="G5" s="0" t="str">
        <f aca="false">IF(D5&lt;0,"Deficit","Surplus")</f>
        <v>Deficit</v>
      </c>
    </row>
    <row r="6" customFormat="false" ht="15" hidden="false" customHeight="false" outlineLevel="0" collapsed="false">
      <c r="A6" s="0" t="s">
        <v>15</v>
      </c>
      <c r="B6" s="6" t="n">
        <f aca="false">SUMIFS('Trade Data'!$D$2:$D$151,'Trade Data'!$C$2:$C$151,A6)</f>
        <v>7051.2</v>
      </c>
      <c r="C6" s="6" t="n">
        <f aca="false">SUMIFS('Trade Data'!$E$2:$E$151,'Trade Data'!$C$2:$C$151,A6)</f>
        <v>6693.4</v>
      </c>
      <c r="D6" s="6" t="n">
        <f aca="false">B6-C6</f>
        <v>357.8</v>
      </c>
      <c r="E6" s="0" t="str">
        <f aca="false">INDEX('Trade Data'!$B$2:$B$151,MATCH(1,('Trade Data'!$C$2:$C$151=A6)*('Trade Data'!$D$2:$D$151=F6),0))</f>
        <v>Vietnam</v>
      </c>
      <c r="F6" s="7" t="n">
        <f aca="false">_xlfn.MAXIFS('Trade Data'!$D$2:$D$151,'Trade Data'!$C$2:$C$151,A6)</f>
        <v>879.1</v>
      </c>
      <c r="G6" s="0" t="str">
        <f aca="false">IF(D6&lt;0,"Deficit","Surplus")</f>
        <v>Surplus</v>
      </c>
    </row>
    <row r="7" customFormat="false" ht="15" hidden="false" customHeight="false" outlineLevel="0" collapsed="false">
      <c r="A7" s="0" t="s">
        <v>13</v>
      </c>
      <c r="B7" s="6" t="n">
        <f aca="false">SUMIFS('Trade Data'!$D$2:$D$151,'Trade Data'!$C$2:$C$151,A7)</f>
        <v>7613.2</v>
      </c>
      <c r="C7" s="6" t="n">
        <f aca="false">SUMIFS('Trade Data'!$E$2:$E$151,'Trade Data'!$C$2:$C$151,A7)</f>
        <v>8158.5</v>
      </c>
      <c r="D7" s="6" t="n">
        <f aca="false">B7-C7</f>
        <v>-545.3</v>
      </c>
      <c r="E7" s="0" t="str">
        <f aca="false">INDEX('Trade Data'!$B$2:$B$151,MATCH(1,('Trade Data'!$C$2:$C$151=A7)*('Trade Data'!$D$2:$D$151=F7),0))</f>
        <v>Vietnam</v>
      </c>
      <c r="F7" s="7" t="n">
        <f aca="false">_xlfn.MAXIFS('Trade Data'!$D$2:$D$151,'Trade Data'!$C$2:$C$151,A7)</f>
        <v>813</v>
      </c>
      <c r="G7" s="0" t="str">
        <f aca="false">IF(D7&lt;0,"Deficit","Surplus")</f>
        <v>Deficit</v>
      </c>
    </row>
    <row r="8" customFormat="false" ht="15" hidden="false" customHeight="false" outlineLevel="0" collapsed="false">
      <c r="A8" s="0" t="s">
        <v>17</v>
      </c>
      <c r="B8" s="6" t="n">
        <f aca="false">SUMIFS('Trade Data'!$D$2:$D$151,'Trade Data'!$C$2:$C$151,A8)</f>
        <v>6635.7</v>
      </c>
      <c r="C8" s="6" t="n">
        <f aca="false">SUMIFS('Trade Data'!$E$2:$E$151,'Trade Data'!$C$2:$C$151,A8)</f>
        <v>8010.4</v>
      </c>
      <c r="D8" s="6" t="n">
        <f aca="false">B8-C8</f>
        <v>-1374.7</v>
      </c>
      <c r="E8" s="0" t="str">
        <f aca="false">INDEX('Trade Data'!$B$2:$B$151,MATCH(1,('Trade Data'!$C$2:$C$151=A8)*('Trade Data'!$D$2:$D$151=F8),0))</f>
        <v>Saudi Arabia</v>
      </c>
      <c r="F8" s="7" t="n">
        <f aca="false">_xlfn.MAXIFS('Trade Data'!$D$2:$D$151,'Trade Data'!$C$2:$C$151,A8)</f>
        <v>754</v>
      </c>
      <c r="G8" s="0" t="str">
        <f aca="false">IF(D8&lt;0,"Deficit","Surplus")</f>
        <v>Deficit</v>
      </c>
    </row>
    <row r="9" customFormat="false" ht="15" hidden="false" customHeight="false" outlineLevel="0" collapsed="false">
      <c r="A9" s="0" t="s">
        <v>8</v>
      </c>
      <c r="B9" s="6" t="n">
        <f aca="false">SUMIFS('Trade Data'!$D$2:$D$151,'Trade Data'!$C$2:$C$151,A9)</f>
        <v>11468.4</v>
      </c>
      <c r="C9" s="6" t="n">
        <f aca="false">SUMIFS('Trade Data'!$E$2:$E$151,'Trade Data'!$C$2:$C$151,A9)</f>
        <v>8974.2</v>
      </c>
      <c r="D9" s="6" t="n">
        <f aca="false">B9-C9</f>
        <v>2494.2</v>
      </c>
      <c r="E9" s="0" t="str">
        <f aca="false">INDEX('Trade Data'!$B$2:$B$151,MATCH(1,('Trade Data'!$C$2:$C$151=A9)*('Trade Data'!$D$2:$D$151=F9),0))</f>
        <v>Singapore</v>
      </c>
      <c r="F9" s="7" t="n">
        <f aca="false">_xlfn.MAXIFS('Trade Data'!$D$2:$D$151,'Trade Data'!$C$2:$C$151,A9)</f>
        <v>890.8</v>
      </c>
      <c r="G9" s="0" t="str">
        <f aca="false">IF(D9&lt;0,"Deficit","Surplus")</f>
        <v>Surplus</v>
      </c>
    </row>
    <row r="10" customFormat="false" ht="15" hidden="false" customHeight="false" outlineLevel="0" collapsed="false">
      <c r="A10" s="0" t="s">
        <v>10</v>
      </c>
      <c r="B10" s="6" t="n">
        <f aca="false">SUMIFS('Trade Data'!$D$2:$D$151,'Trade Data'!$C$2:$C$151,A10)</f>
        <v>9441.9</v>
      </c>
      <c r="C10" s="6" t="n">
        <f aca="false">SUMIFS('Trade Data'!$E$2:$E$151,'Trade Data'!$C$2:$C$151,A10)</f>
        <v>6647.2</v>
      </c>
      <c r="D10" s="6" t="n">
        <f aca="false">B10-C10</f>
        <v>2794.7</v>
      </c>
      <c r="E10" s="0" t="str">
        <f aca="false">INDEX('Trade Data'!$B$2:$B$151,MATCH(1,('Trade Data'!$C$2:$C$151=A10)*('Trade Data'!$D$2:$D$151=F10),0))</f>
        <v>China</v>
      </c>
      <c r="F10" s="7" t="n">
        <f aca="false">_xlfn.MAXIFS('Trade Data'!$D$2:$D$151,'Trade Data'!$C$2:$C$151,A10)</f>
        <v>888.8</v>
      </c>
      <c r="G10" s="0" t="str">
        <f aca="false">IF(D10&lt;0,"Deficit","Surplus")</f>
        <v>Surplus</v>
      </c>
    </row>
    <row r="11" customFormat="false" ht="15" hidden="false" customHeight="false" outlineLevel="0" collapsed="false">
      <c r="A11" s="0" t="s">
        <v>11</v>
      </c>
      <c r="B11" s="6" t="n">
        <f aca="false">SUMIFS('Trade Data'!$D$2:$D$151,'Trade Data'!$C$2:$C$151,A11)</f>
        <v>9666.9</v>
      </c>
      <c r="C11" s="6" t="n">
        <f aca="false">SUMIFS('Trade Data'!$E$2:$E$151,'Trade Data'!$C$2:$C$151,A11)</f>
        <v>9357.7</v>
      </c>
      <c r="D11" s="6" t="n">
        <f aca="false">B11-C11</f>
        <v>309.199999999999</v>
      </c>
      <c r="E11" s="0" t="str">
        <f aca="false">INDEX('Trade Data'!$B$2:$B$151,MATCH(1,('Trade Data'!$C$2:$C$151=A11)*('Trade Data'!$D$2:$D$151=F11),0))</f>
        <v>UAE</v>
      </c>
      <c r="F11" s="7" t="n">
        <f aca="false">_xlfn.MAXIFS('Trade Data'!$D$2:$D$151,'Trade Data'!$C$2:$C$151,A11)</f>
        <v>896.6</v>
      </c>
      <c r="G11" s="0" t="str">
        <f aca="false">IF(D11&lt;0,"Deficit","Surplus")</f>
        <v>Surplus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2026-08-27T16:58:16Z</dcterms:created>
  <dc:creator>openpyxl</dc:creator>
  <dc:description/>
  <dc:language>en-US</dc:language>
  <cp:lastModifiedBy/>
  <dcterms:modified xsi:type="dcterms:W3CDTF">2026-08-27T16:58:22Z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